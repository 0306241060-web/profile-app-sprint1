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quan" sheetId="2" state="visible" r:id="rId2"/>
  </sheets>
  <definedNames>
    <definedName name="_xlnm._FilterDatabase" localSheetId="0" hidden="1">'Test Cases'!$A$1:$F$21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  <font>
      <b val="1"/>
      <color rgb="00C00000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4" customWidth="1" min="3" max="3"/>
    <col width="58" customWidth="1" min="4" max="4"/>
    <col width="13" customWidth="1" min="5" max="5"/>
    <col width="42" customWidth="1" min="6" max="6"/>
  </cols>
  <sheetData>
    <row r="1" ht="32" customHeight="1">
      <c r="A1" s="1" t="inlineStr">
        <is>
          <t>Mã TC</t>
        </is>
      </c>
      <c r="B1" s="1" t="inlineStr">
        <is>
          <t>Tên chức năng / Kịch bản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  <c r="F1" s="1" t="inlineStr">
        <is>
          <t>Ghi chú</t>
        </is>
      </c>
    </row>
    <row r="2" ht="76" customHeight="1">
      <c r="A2" s="2" t="inlineStr">
        <is>
          <t>TC-01</t>
        </is>
      </c>
      <c r="B2" s="2" t="inlineStr">
        <is>
          <t>[Mẫu] Cài đặt: đổi Theme sang Tối</t>
        </is>
      </c>
      <c r="C2" s="2" t="inlineStr">
        <is>
          <t>1. Mở Profile/Cài đặt.
2. Chọn giao diện Tối.
3. Bấm Lưu thay đổi, tải lại trang.</t>
        </is>
      </c>
      <c r="D2" s="2" t="inlineStr">
        <is>
          <t>Nền chuyển sang tối, chữ dễ đọc; sau khi tải lại, giao diện vẫn là Tối.</t>
        </is>
      </c>
      <c r="E2" s="3" t="inlineStr">
        <is>
          <t>Pass</t>
        </is>
      </c>
      <c r="F2" s="2" t="inlineStr">
        <is>
          <t>Ví dụ Sprint 4.</t>
        </is>
      </c>
    </row>
    <row r="3" ht="76" customHeight="1">
      <c r="A3" s="2" t="inlineStr">
        <is>
          <t>TC-02</t>
        </is>
      </c>
      <c r="B3" s="2" t="inlineStr">
        <is>
          <t>[Mẫu] Cài đặt: đổi mật khẩu vùng kín</t>
        </is>
      </c>
      <c r="C3" s="2" t="inlineStr">
        <is>
          <t>1. Mở Profile.
2. Nhập mật khẩu hiện tại và mật khẩu mới hợp lệ (tối thiểu 4 ký tự).
3. Lưu; thử mở Vùng kín bằng mật khẩu mới.</t>
        </is>
      </c>
      <c r="D3" s="2" t="inlineStr">
        <is>
          <t>Thông báo lưu thành công; mật khẩu mới mở được Vùng kín, mật khẩu cũ không còn dùng được.</t>
        </is>
      </c>
      <c r="E3" s="3" t="inlineStr">
        <is>
          <t>Pass</t>
        </is>
      </c>
      <c r="F3" s="2" t="inlineStr">
        <is>
          <t>Ví dụ Sprint 4. Dùng dữ liệu môi trường local.</t>
        </is>
      </c>
    </row>
    <row r="4" ht="70" customHeight="1">
      <c r="A4" s="2" t="inlineStr">
        <is>
          <t>TC-03</t>
        </is>
      </c>
      <c r="B4" s="2" t="inlineStr">
        <is>
          <t>[Mẫu] Ghi chú công khai: gửi dữ liệu trống</t>
        </is>
      </c>
      <c r="C4" s="2" t="inlineStr">
        <is>
          <t>1. Mở Ghi chú chung.
2. Để trống tiêu đề và nội dung.
3. Bấm Thêm mới.</t>
        </is>
      </c>
      <c r="D4" s="2" t="inlineStr">
        <is>
          <t>Không tạo ghi chú trắng; danh sách và dữ liệu lưu không có bản ghi mới.</t>
        </is>
      </c>
      <c r="E4" s="3" t="inlineStr">
        <is>
          <t>Pass</t>
        </is>
      </c>
      <c r="F4" s="2" t="inlineStr">
        <is>
          <t>Ví dụ Sprint 4. Kiểm tra trạng thái dữ liệu trước và sau.</t>
        </is>
      </c>
    </row>
    <row r="5" ht="76" customHeight="1">
      <c r="A5" s="2" t="inlineStr">
        <is>
          <t>TC-04</t>
        </is>
      </c>
      <c r="B5" s="2" t="inlineStr">
        <is>
          <t>[Mẫu] Vùng kín: nhập sai mật khẩu</t>
        </is>
      </c>
      <c r="C5" s="2" t="inlineStr">
        <is>
          <t>1. Mở tab Vùng kín.
2. Nhập một mật khẩu sai.
3. Bấm Mở khóa.</t>
        </is>
      </c>
      <c r="D5" s="2" t="inlineStr">
        <is>
          <t>Hiện thông báo mật khẩu sai; danh sách ghi chú riêng tư không được hiển thị.</t>
        </is>
      </c>
      <c r="E5" s="3" t="inlineStr">
        <is>
          <t>Pass</t>
        </is>
      </c>
      <c r="F5" s="2" t="inlineStr">
        <is>
          <t>Ví dụ Sprint 4.</t>
        </is>
      </c>
    </row>
    <row r="6" ht="70" customHeight="1">
      <c r="A6" s="2" t="inlineStr">
        <is>
          <t>TC-05</t>
        </is>
      </c>
      <c r="B6" s="2" t="inlineStr">
        <is>
          <t>[Mẫu] Vùng kín: nhập đúng mật khẩu</t>
        </is>
      </c>
      <c r="C6" s="2" t="inlineStr">
        <is>
          <t>1. Mở tab Vùng kín.
2. Nhập mật khẩu vùng kín đang được cấu hình.
3. Bấm Mở khóa.</t>
        </is>
      </c>
      <c r="D6" s="2" t="inlineStr">
        <is>
          <t>Mở khóa thành công và hiển thị danh sách ghi chú riêng tư.</t>
        </is>
      </c>
      <c r="E6" s="3" t="inlineStr">
        <is>
          <t>Pass</t>
        </is>
      </c>
      <c r="F6" s="2" t="inlineStr">
        <is>
          <t>Ví dụ Sprint 4. Không ghi mật khẩu thật vào báo cáo.</t>
        </is>
      </c>
    </row>
    <row r="7" ht="76" customHeight="1">
      <c r="A7" s="2" t="inlineStr">
        <is>
          <t>TC-06</t>
        </is>
      </c>
      <c r="B7" s="2" t="inlineStr">
        <is>
          <t>Profile: cập nhật tên hiển thị</t>
        </is>
      </c>
      <c r="C7" s="2" t="inlineStr">
        <is>
          <t>1. Mở Profile.
2. Nhập tên hiển thị hợp lệ.
3. Bấm Lưu thay đổi; tải lại trang.</t>
        </is>
      </c>
      <c r="D7" s="2" t="inlineStr">
        <is>
          <t>Tên mới được lưu và hiển thị nhất quán tại Profile và khu vực ứng dụng có tên người dùng.</t>
        </is>
      </c>
      <c r="E7" s="3" t="inlineStr">
        <is>
          <t>Pass</t>
        </is>
      </c>
      <c r="F7" s="2" t="inlineStr">
        <is>
          <t>—</t>
        </is>
      </c>
    </row>
    <row r="8" ht="76" customHeight="1">
      <c r="A8" s="2" t="inlineStr">
        <is>
          <t>TC-07</t>
        </is>
      </c>
      <c r="B8" s="2" t="inlineStr">
        <is>
          <t>Profile: giữ nguyên mật khẩu khi không đổi</t>
        </is>
      </c>
      <c r="C8" s="2" t="inlineStr">
        <is>
          <t>1. Mở Profile.
2. Để trống hai ô mật khẩu; đổi Theme hoặc tên hiển thị.
3. Lưu; thử mở Vùng kín bằng mật khẩu đang dùng.</t>
        </is>
      </c>
      <c r="D8" s="2" t="inlineStr">
        <is>
          <t>Các thông tin khác được lưu; mật khẩu vùng kín không thay đổi và vẫn mở khóa được.</t>
        </is>
      </c>
      <c r="E8" s="3" t="inlineStr">
        <is>
          <t>Pass</t>
        </is>
      </c>
      <c r="F8" s="2" t="inlineStr">
        <is>
          <t>—</t>
        </is>
      </c>
    </row>
    <row r="9" ht="76" customHeight="1">
      <c r="A9" s="2" t="inlineStr">
        <is>
          <t>TC-08</t>
        </is>
      </c>
      <c r="B9" s="2" t="inlineStr">
        <is>
          <t>Profile: mật khẩu mới dưới 4 ký tự</t>
        </is>
      </c>
      <c r="C9" s="2" t="inlineStr">
        <is>
          <t>1. Mở Profile.
2. Nhập mật khẩu mới ngắn hơn 4 ký tự.
3. Nhập mật khẩu hiện tại đúng và bấm lưu.</t>
        </is>
      </c>
      <c r="D9" s="2" t="inlineStr">
        <is>
          <t>Hiện lỗi độ dài mật khẩu; không đổi mật khẩu và dữ liệu cũ vẫn còn hiệu lực.</t>
        </is>
      </c>
      <c r="E9" s="3" t="inlineStr">
        <is>
          <t>Pass</t>
        </is>
      </c>
      <c r="F9" s="2" t="inlineStr">
        <is>
          <t>—</t>
        </is>
      </c>
    </row>
    <row r="10" ht="76" customHeight="1">
      <c r="A10" s="2" t="inlineStr">
        <is>
          <t>TC-09</t>
        </is>
      </c>
      <c r="B10" s="2" t="inlineStr">
        <is>
          <t>Profile: mật khẩu hiện tại không đúng</t>
        </is>
      </c>
      <c r="C10" s="2" t="inlineStr">
        <is>
          <t>1. Mở Profile.
2. Nhập mật khẩu hiện tại sai và mật khẩu mới hợp lệ.
3. Bấm lưu.</t>
        </is>
      </c>
      <c r="D10" s="2" t="inlineStr">
        <is>
          <t>Hiện lỗi mật khẩu hiện tại không đúng; không thay đổi mật khẩu.</t>
        </is>
      </c>
      <c r="E10" s="3" t="inlineStr">
        <is>
          <t>Pass</t>
        </is>
      </c>
      <c r="F10" s="2" t="inlineStr">
        <is>
          <t>—</t>
        </is>
      </c>
    </row>
    <row r="11" ht="76" customHeight="1">
      <c r="A11" s="2" t="inlineStr">
        <is>
          <t>TC-10</t>
        </is>
      </c>
      <c r="B11" s="2" t="inlineStr">
        <is>
          <t>Profile: mật khẩu mới trùng mật khẩu hiện tại</t>
        </is>
      </c>
      <c r="C11" s="2" t="inlineStr">
        <is>
          <t>1. Mở Profile.
2. Nhập mật khẩu hiện tại đúng.
3. Nhập lại cùng mật khẩu đó làm mật khẩu mới rồi lưu.</t>
        </is>
      </c>
      <c r="D11" s="2" t="inlineStr">
        <is>
          <t>Hiện lỗi yêu cầu chọn mật khẩu khác; mật khẩu hiện tại vẫn dùng được.</t>
        </is>
      </c>
      <c r="E11" s="3" t="inlineStr">
        <is>
          <t>Pass</t>
        </is>
      </c>
      <c r="F11" s="2" t="inlineStr">
        <is>
          <t>—</t>
        </is>
      </c>
    </row>
    <row r="12" ht="76" customHeight="1">
      <c r="A12" s="2" t="inlineStr">
        <is>
          <t>TC-11</t>
        </is>
      </c>
      <c r="B12" s="2" t="inlineStr">
        <is>
          <t>Ghi chú công khai: tạo mới</t>
        </is>
      </c>
      <c r="C12" s="2" t="inlineStr">
        <is>
          <t>1. Mở Ghi chú chung.
2. Nhập tiêu đề và nội dung hợp lệ; chọn chủ đề.
3. Bấm Thêm mới.</t>
        </is>
      </c>
      <c r="D12" s="2" t="inlineStr">
        <is>
          <t>Ghi chú xuất hiện trong danh sách đúng chủ đề với tiêu đề và nội dung vừa nhập.</t>
        </is>
      </c>
      <c r="E12" s="3" t="inlineStr">
        <is>
          <t>Pass</t>
        </is>
      </c>
      <c r="F12" s="2" t="inlineStr">
        <is>
          <t>—</t>
        </is>
      </c>
    </row>
    <row r="13" ht="76" customHeight="1">
      <c r="A13" s="2" t="inlineStr">
        <is>
          <t>TC-12</t>
        </is>
      </c>
      <c r="B13" s="2" t="inlineStr">
        <is>
          <t>Ghi chú công khai: chỉnh sửa</t>
        </is>
      </c>
      <c r="C13" s="2" t="inlineStr">
        <is>
          <t>1. Chọn một ghi chú có sẵn và bấm Sửa.
2. Thay đổi tiêu đề hoặc nội dung.
3. Lưu thay đổi và tải lại danh sách.</t>
        </is>
      </c>
      <c r="D13" s="2" t="inlineStr">
        <is>
          <t>Ghi chú hiển thị nội dung mới; không tạo thêm bản ghi trùng.</t>
        </is>
      </c>
      <c r="E13" s="3" t="inlineStr">
        <is>
          <t>Pass</t>
        </is>
      </c>
      <c r="F13" s="2" t="inlineStr">
        <is>
          <t>—</t>
        </is>
      </c>
    </row>
    <row r="14" ht="76" customHeight="1">
      <c r="A14" s="2" t="inlineStr">
        <is>
          <t>TC-13</t>
        </is>
      </c>
      <c r="B14" s="2" t="inlineStr">
        <is>
          <t>Ghi chú công khai: xóa</t>
        </is>
      </c>
      <c r="C14" s="2" t="inlineStr">
        <is>
          <t>1. Chọn một ghi chú kiểm thử.
2. Bấm Xóa và xác nhận hộp thoại.
3. Tải lại danh sách.</t>
        </is>
      </c>
      <c r="D14" s="2" t="inlineStr">
        <is>
          <t>Ghi chú đã chọn không còn trong danh sách sau khi tải lại.</t>
        </is>
      </c>
      <c r="E14" s="3" t="inlineStr">
        <is>
          <t>Pass</t>
        </is>
      </c>
      <c r="F14" s="2" t="inlineStr">
        <is>
          <t>Chỉ dùng ghi chú kiểm thử.</t>
        </is>
      </c>
    </row>
    <row r="15" ht="76" customHeight="1">
      <c r="A15" s="2" t="inlineStr">
        <is>
          <t>TC-14</t>
        </is>
      </c>
      <c r="B15" s="2" t="inlineStr">
        <is>
          <t>Ghi chú công khai: tìm kiếm</t>
        </is>
      </c>
      <c r="C15" s="2" t="inlineStr">
        <is>
          <t>1. Tạo hoặc chọn ghi chú có từ khóa dễ nhận biết.
2. Nhập từ khóa vào ô tìm kiếm.
3. Xóa từ khóa để xem lại toàn bộ danh sách.</t>
        </is>
      </c>
      <c r="D15" s="2" t="inlineStr">
        <is>
          <t>Kết quả khớp từ khóa được lọc; xóa từ khóa thì danh sách phù hợp hiện lại.</t>
        </is>
      </c>
      <c r="E15" s="3" t="inlineStr">
        <is>
          <t>Pass</t>
        </is>
      </c>
      <c r="F15" s="2" t="inlineStr">
        <is>
          <t>—</t>
        </is>
      </c>
    </row>
    <row r="16" ht="76" customHeight="1">
      <c r="A16" s="2" t="inlineStr">
        <is>
          <t>TC-15</t>
        </is>
      </c>
      <c r="B16" s="2" t="inlineStr">
        <is>
          <t>Ghi chú công khai: lọc theo chủ đề</t>
        </is>
      </c>
      <c r="C16" s="2" t="inlineStr">
        <is>
          <t>1. Tạo ghi chú ở ít nhất hai chủ đề.
2. Chọn một chủ đề trong bộ lọc.
3. Chuyển lại Tất cả nếu có.</t>
        </is>
      </c>
      <c r="D16" s="2" t="inlineStr">
        <is>
          <t>Khi lọc, chỉ ghi chú thuộc chủ đề được chọn xuất hiện; mục Tất cả hiển thị lại các chủ đề.</t>
        </is>
      </c>
      <c r="E16" s="3" t="inlineStr">
        <is>
          <t>Pass</t>
        </is>
      </c>
      <c r="F16" s="2" t="inlineStr">
        <is>
          <t>—</t>
        </is>
      </c>
    </row>
    <row r="17" ht="76" customHeight="1">
      <c r="A17" s="2" t="inlineStr">
        <is>
          <t>TC-16</t>
        </is>
      </c>
      <c r="B17" s="2" t="inlineStr">
        <is>
          <t>Ghi chú công khai: ghim và bỏ ghim</t>
        </is>
      </c>
      <c r="C17" s="2" t="inlineStr">
        <is>
          <t>1. Chọn một ghi chú chưa ghim và bấm ghim.
2. Tải lại trang.
3. Bỏ ghim ghi chú đó.</t>
        </is>
      </c>
      <c r="D17" s="2" t="inlineStr">
        <is>
          <t>Trạng thái ghim được thể hiện đúng; sau khi bỏ ghim, ghi chú trở về nhóm chưa ghim.</t>
        </is>
      </c>
      <c r="E17" s="3" t="inlineStr">
        <is>
          <t>Pass</t>
        </is>
      </c>
      <c r="F17" s="2" t="inlineStr">
        <is>
          <t>—</t>
        </is>
      </c>
    </row>
    <row r="18" ht="76" customHeight="1">
      <c r="A18" s="2" t="inlineStr">
        <is>
          <t>TC-17</t>
        </is>
      </c>
      <c r="B18" s="2" t="inlineStr">
        <is>
          <t>Vùng kín: CRUD ghi chú riêng tư</t>
        </is>
      </c>
      <c r="C18" s="2" t="inlineStr">
        <is>
          <t>1. Mở khóa Vùng kín.
2. Tạo ghi chú riêng tư có tiêu đề và nội dung.
3. Sửa nội dung rồi lưu.
4. Xóa ghi chú và xác nhận.</t>
        </is>
      </c>
      <c r="D18" s="2" t="inlineStr">
        <is>
          <t>Ghi chú được tạo, cập nhật đúng; sau khi xóa thì không còn trong danh sách riêng tư.</t>
        </is>
      </c>
      <c r="E18" s="3" t="inlineStr">
        <is>
          <t>Pass</t>
        </is>
      </c>
      <c r="F18" s="2" t="inlineStr">
        <is>
          <t>Dùng một ghi chú kiểm thử.</t>
        </is>
      </c>
    </row>
    <row r="19" ht="76" customHeight="1">
      <c r="A19" s="2" t="inlineStr">
        <is>
          <t>TC-18</t>
        </is>
      </c>
      <c r="B19" s="2" t="inlineStr">
        <is>
          <t>Giao diện: kiểm tra kích thước di động</t>
        </is>
      </c>
      <c r="C19" s="2" t="inlineStr">
        <is>
          <t>1. Mở Chrome DevTools và bật chế độ thiết bị di động (ví dụ 375 × 812).
2. Kiểm tra Trang chủ, Ghi chú chung, Vùng kín và Profile.
3. Thử cuộn và thao tác với form.</t>
        </is>
      </c>
      <c r="D19" s="2" t="inlineStr">
        <is>
          <t>Không vỡ bố cục hoặc tràn ngang; chữ và nút chính vẫn đọc được, có thể thao tác.</t>
        </is>
      </c>
      <c r="E19" s="3" t="inlineStr">
        <is>
          <t>Pass</t>
        </is>
      </c>
      <c r="F19" s="2" t="inlineStr">
        <is>
          <t>Theo môi trường Sprint 4.</t>
        </is>
      </c>
    </row>
    <row r="20" ht="76" customHeight="1">
      <c r="A20" s="2" t="inlineStr">
        <is>
          <t>TC-19</t>
        </is>
      </c>
      <c r="B20" s="2" t="inlineStr">
        <is>
          <t>Profile: lưu khi tên hiển thị để trống</t>
        </is>
      </c>
      <c r="C20" s="2" t="inlineStr">
        <is>
          <t>1. Mở Profile.
2. Xóa toàn bộ tên hiển thị, để trống hoặc chỉ nhập dấu cách.
3. Bấm Lưu thay đổi.</t>
        </is>
      </c>
      <c r="D20" s="2" t="inlineStr">
        <is>
          <t>Ứng dụng báo bắt buộc nhập tên hiển thị, không lưu dữ liệu và không báo thành công.</t>
        </is>
      </c>
      <c r="E20" s="4" t="inlineStr">
        <is>
          <t>Fail</t>
        </is>
      </c>
      <c r="F20" s="2" t="inlineStr">
        <is>
          <t>trước đây vẫn báo lưu thành công khi tên trống;</t>
        </is>
      </c>
    </row>
    <row r="21" ht="76" customHeight="1">
      <c r="A21" s="2" t="inlineStr">
        <is>
          <t>TC-20</t>
        </is>
      </c>
      <c r="B21" s="2" t="inlineStr">
        <is>
          <t>Profile: nhập mật khẩu hiện tại nhưng bỏ trống mật khẩu mới</t>
        </is>
      </c>
      <c r="C21" s="2" t="inlineStr">
        <is>
          <t>1. Mở Profile.
2. Nhập mật khẩu hiện tại.
3. Để trống mật khẩu vùng kín mới rồi bấm lưu.</t>
        </is>
      </c>
      <c r="D21" s="2" t="inlineStr">
        <is>
          <t>Ứng dụng báo cần nhập mật khẩu mới; không lưu và không báo thành công.</t>
        </is>
      </c>
      <c r="E21" s="4" t="inlineStr">
        <is>
          <t>Fail</t>
        </is>
      </c>
      <c r="F21" s="2" t="inlineStr">
        <is>
          <t>trước đây cho lưu dù thiếu mật khẩu mới;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TỔNG QUAN KIỂM THỬ</t>
        </is>
      </c>
    </row>
    <row r="3">
      <c r="A3" s="6" t="inlineStr">
        <is>
          <t>Tổng số test case</t>
        </is>
      </c>
      <c r="B3" s="7">
        <f>COUNTA('Test Cases'!A2:A21)</f>
        <v/>
      </c>
    </row>
    <row r="4">
      <c r="A4" s="6" t="inlineStr">
        <is>
          <t>Pass</t>
        </is>
      </c>
      <c r="B4" s="7">
        <f>COUNTIF('Test Cases'!E2:E21,"Pass")</f>
        <v/>
      </c>
    </row>
    <row r="5">
      <c r="A5" s="6" t="inlineStr">
        <is>
          <t>Fail</t>
        </is>
      </c>
      <c r="B5" s="7">
        <f>COUNTIF('Test Cases'!E2:E21,"Fail")</f>
        <v/>
      </c>
    </row>
    <row r="6">
      <c r="A6" s="6" t="inlineStr">
        <is>
          <t>Tỷ lệ Pass</t>
        </is>
      </c>
      <c r="B6" s="8">
        <f>IF(B3=0,0,B4/B3)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2026-10-14T14:39:47Z</dcterms:created>
  <dcterms:modified xmlns:dcterms="http://purl.org/dc/terms/" xmlns:xsi="http://www.w3.org/2001/XMLSchema-instance" xsi:type="dcterms:W3CDTF">2026-10-14T14:39:47Z</dcterms:modified>
</cp:coreProperties>
</file>